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guerilla-ai-for-excel\Day 2\"/>
    </mc:Choice>
  </mc:AlternateContent>
  <xr:revisionPtr revIDLastSave="0" documentId="8_{CD59D3AC-CB3C-4D82-83B0-AC2B3ED8F7C1}" xr6:coauthVersionLast="47" xr6:coauthVersionMax="47" xr10:uidLastSave="{00000000-0000-0000-0000-000000000000}"/>
  <bookViews>
    <workbookView xWindow="-22046" yWindow="-103" windowWidth="22149" windowHeight="12549" activeTab="3" xr2:uid="{00000000-000D-0000-FFFF-FFFF00000000}"/>
  </bookViews>
  <sheets>
    <sheet name="steps" sheetId="1" r:id="rId1"/>
    <sheet name="raw-export" sheetId="2" r:id="rId2"/>
    <sheet name="Summary" sheetId="4" r:id="rId3"/>
    <sheet name="raw-export2" sheetId="3" r:id="rId4"/>
    <sheet name="Sheet2" sheetId="5" r:id="rId5"/>
    <sheet name="Sheet3" sheetId="6" r:id="rId6"/>
  </sheets>
  <calcPr calcId="191029"/>
  <pivotCaches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 a="1"/>
  <c r="C5" i="6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B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<sst xmlns="http://schemas.openxmlformats.org/spreadsheetml/2006/main" count="340" uniqueCount="118">
  <si>
    <t>Day 2: Make your data AI-readable</t>
  </si>
  <si>
    <t>Ctrl+T, a real table name, and structured references.</t>
  </si>
  <si>
    <t>Watch live. Reply in chat with a word or letter when invited. Try the workbook afterward at your own pace.</t>
  </si>
  <si>
    <t>Demo 1 of 2: Convert to a table</t>
  </si>
  <si>
    <t>Easier to recognize? A = Table1; B = SalesData. Reply in chat or think of your choice.</t>
  </si>
  <si>
    <t>steps</t>
  </si>
  <si>
    <t># Convert the range to a named table
1. Delete the two TOTAL rows and the blank row
2. Click in the data, press Ctrl+T, confirm headers
3. Table Design &gt; Table Name: type SalesData
4. In a spare cell type: =SUM(SalesData[Amount])
5. Read the formula out loud. It documents itself.</t>
  </si>
  <si>
    <t>Demo 2 of 2: Rerun Monday's question</t>
  </si>
  <si>
    <t>Did Ctrl+T fix the region typos? YES / NO. Reply in chat or think of your choice.</t>
  </si>
  <si>
    <t># Same question, better answer
1. Click inside the SalesData table
2. Home tab &gt; Analyze Data
3. Ask again: total Amount by Region
4. Compare with Monday: no junk rows, named fields
5. New rows added to the table join automatically</t>
  </si>
  <si>
    <t>One small next step</t>
  </si>
  <si>
    <t>Name one table: SALES, EXPENSES, or your own choice. Use Ctrl+T, then Table Design.</t>
  </si>
  <si>
    <t>Order ID</t>
  </si>
  <si>
    <t>Order Date</t>
  </si>
  <si>
    <t>Rep Email</t>
  </si>
  <si>
    <t>Product - Category</t>
  </si>
  <si>
    <t>Region</t>
  </si>
  <si>
    <t>Units</t>
  </si>
  <si>
    <t>Unit Price</t>
  </si>
  <si>
    <t>Rep Name</t>
  </si>
  <si>
    <t>SO-10401</t>
  </si>
  <si>
    <t>marcus.webb@lakeshoresupply.com</t>
  </si>
  <si>
    <t>Copy Paper - Office Supplies</t>
  </si>
  <si>
    <t xml:space="preserve">Northeast </t>
  </si>
  <si>
    <t>Marcus Webb</t>
  </si>
  <si>
    <t>SO-10402</t>
  </si>
  <si>
    <t>dana.kowalski@lakeshoresupply.com</t>
  </si>
  <si>
    <t>Laser Printer - Technology</t>
  </si>
  <si>
    <t>Northeast</t>
  </si>
  <si>
    <t>Dana Kowalski</t>
  </si>
  <si>
    <t>SO-10403</t>
  </si>
  <si>
    <t>priya.raman@lakeshoresupply.com</t>
  </si>
  <si>
    <t>West</t>
  </si>
  <si>
    <t>Priya Raman</t>
  </si>
  <si>
    <t>SO-10405</t>
  </si>
  <si>
    <t>tom.delgado@lakeshoresupply.com</t>
  </si>
  <si>
    <t>Tom Delgado</t>
  </si>
  <si>
    <t>SO-10406</t>
  </si>
  <si>
    <t>SO-10410</t>
  </si>
  <si>
    <t>Task Chair - Furniture</t>
  </si>
  <si>
    <t xml:space="preserve">midwest </t>
  </si>
  <si>
    <t>SO-10412</t>
  </si>
  <si>
    <t>northeast</t>
  </si>
  <si>
    <t>SO-10413</t>
  </si>
  <si>
    <t>Midwest</t>
  </si>
  <si>
    <t>SO-10414</t>
  </si>
  <si>
    <t>Toner Cartridge - Office Supplies</t>
  </si>
  <si>
    <t>SO-10415</t>
  </si>
  <si>
    <t>SO-10416</t>
  </si>
  <si>
    <t>Standing Desk - Furniture</t>
  </si>
  <si>
    <t xml:space="preserve">West </t>
  </si>
  <si>
    <t>SO-10417</t>
  </si>
  <si>
    <t>SO-10418</t>
  </si>
  <si>
    <t>SO-10419</t>
  </si>
  <si>
    <t>SO-10420</t>
  </si>
  <si>
    <t>SO-10421</t>
  </si>
  <si>
    <t>SOUTH</t>
  </si>
  <si>
    <t>SO-10422</t>
  </si>
  <si>
    <t>SO-10423</t>
  </si>
  <si>
    <t>SO-10424</t>
  </si>
  <si>
    <t>South</t>
  </si>
  <si>
    <t>SO-10428</t>
  </si>
  <si>
    <t>Conference Phone - Technology</t>
  </si>
  <si>
    <t>SO-10429</t>
  </si>
  <si>
    <t>SO-10430</t>
  </si>
  <si>
    <t>SO-10431</t>
  </si>
  <si>
    <t>sam.osei@lakeshoresupply.com</t>
  </si>
  <si>
    <t>Sam Osei</t>
  </si>
  <si>
    <t>SO-10433</t>
  </si>
  <si>
    <t>SO-10437</t>
  </si>
  <si>
    <t>SO-10438</t>
  </si>
  <si>
    <t>SO-10439</t>
  </si>
  <si>
    <t xml:space="preserve"> South</t>
  </si>
  <si>
    <t>SO-10443</t>
  </si>
  <si>
    <t>SO-10444</t>
  </si>
  <si>
    <t>SO-10445</t>
  </si>
  <si>
    <t>west</t>
  </si>
  <si>
    <t>SO-10447</t>
  </si>
  <si>
    <t>aisha.clark@lakeshoresupply.com</t>
  </si>
  <si>
    <t>Aisha Clark</t>
  </si>
  <si>
    <t>SO-10449</t>
  </si>
  <si>
    <t>MIDWEST</t>
  </si>
  <si>
    <t>SO-10451</t>
  </si>
  <si>
    <t>SO-10454</t>
  </si>
  <si>
    <t>SO-10404</t>
  </si>
  <si>
    <t>SO-10407</t>
  </si>
  <si>
    <t>SO-10408</t>
  </si>
  <si>
    <t>SO-10409</t>
  </si>
  <si>
    <t>SO-10411</t>
  </si>
  <si>
    <t>SO-10425</t>
  </si>
  <si>
    <t>SO-10426</t>
  </si>
  <si>
    <t>SO-10427</t>
  </si>
  <si>
    <t>SO-10432</t>
  </si>
  <si>
    <t>SO-10434</t>
  </si>
  <si>
    <t>SO-10435</t>
  </si>
  <si>
    <t>SO-10436</t>
  </si>
  <si>
    <t>SO-10440</t>
  </si>
  <si>
    <t>SO-10441</t>
  </si>
  <si>
    <t>SO-10442</t>
  </si>
  <si>
    <t>SO-10446</t>
  </si>
  <si>
    <t>SO-10448</t>
  </si>
  <si>
    <t>SO-10450</t>
  </si>
  <si>
    <t>SO-10452</t>
  </si>
  <si>
    <t>SO-10453</t>
  </si>
  <si>
    <t>Product Category</t>
  </si>
  <si>
    <t>Q1 Units</t>
  </si>
  <si>
    <t>Q2 Units</t>
  </si>
  <si>
    <t>Office Supplies</t>
  </si>
  <si>
    <t>Furniture</t>
  </si>
  <si>
    <t>Technology</t>
  </si>
  <si>
    <t>Total units sold:</t>
  </si>
  <si>
    <t>Total Sales</t>
  </si>
  <si>
    <t>Total 'Units' by 'Region'</t>
  </si>
  <si>
    <t>Sum of Units</t>
  </si>
  <si>
    <t>(blank)</t>
  </si>
  <si>
    <t>Grand Total</t>
  </si>
  <si>
    <t>Distinct count of 'Region'</t>
  </si>
  <si>
    <t>Distinct Count of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</si>
</sst>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20"/>
      <color rgb="FF1F2120"/>
      <name val="Arial Black"/>
      <family val="2"/>
    </font>
    <font>
      <sz val="11"/>
      <color rgb="FF707070"/>
      <name val="Arial"/>
      <family val="2"/>
    </font>
    <font>
      <i/>
      <sz val="10"/>
      <color rgb="FF707070"/>
      <name val="Arial"/>
      <family val="2"/>
    </font>
    <font>
      <b/>
      <sz val="13"/>
      <color rgb="FFFFFFFF"/>
      <name val="Arial"/>
      <family val="2"/>
    </font>
    <font>
      <sz val="11"/>
      <color rgb="FF1F2120"/>
      <name val="Arial"/>
      <family val="2"/>
    </font>
    <font>
      <b/>
      <sz val="10"/>
      <color rgb="FFCF3338"/>
      <name val="Arial"/>
      <family val="2"/>
    </font>
    <font>
      <sz val="11"/>
      <color rgb="FF1F2120"/>
      <name val="Consolas"/>
      <family val="3"/>
    </font>
    <font>
      <b/>
      <sz val="11"/>
      <color rgb="FFCF3338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6" fillId="0" borderId="0" xfId="0" applyFont="1" applyAlignment="1">
      <alignment horizontal="right" vertical="top" wrapText="1"/>
    </xf>
    <xf numFmtId="0" fontId="7" fillId="3" borderId="1" xfId="0" applyFont="1" applyFill="1" applyBorder="1" applyAlignment="1">
      <alignment vertical="top" wrapText="1"/>
    </xf>
    <xf numFmtId="0" fontId="6" fillId="0" borderId="0" xfId="0" applyFon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 indent="1"/>
    </xf>
    <xf numFmtId="0" fontId="8" fillId="4" borderId="0" xfId="0" applyFont="1" applyFill="1" applyAlignment="1">
      <alignment vertical="center" indent="1"/>
    </xf>
    <xf numFmtId="0" fontId="10" fillId="0" borderId="0" xfId="0" applyFont="1" applyAlignment="1">
      <alignment horizontal="left" vertical="center"/>
    </xf>
    <xf numFmtId="0" fontId="0" fillId="0" borderId="0" xfId="0" pivotButton="1"/>
    <xf numFmtId="0" fontId="11" fillId="5" borderId="0" xfId="0" applyFont="1" applyFill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" formatCode="0"/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F3338"/>
        <name val="Arial"/>
        <family val="2"/>
        <scheme val="none"/>
      </font>
    </dxf>
    <dxf>
      <numFmt numFmtId="164" formatCode="&quot;$&quot;#,##0.00"/>
    </dxf>
    <dxf>
      <numFmt numFmtId="1" formatCode="0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[Guerrilla AI - Day 2 - Demo Solutions.xlsx]Sheet2!PivotTable1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'Units' by 'Region'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Sheet2!$C$5:$C$14</c:f>
              <c:strCache>
                <c:ptCount val="9"/>
                <c:pt idx="0">
                  <c:v>(blank)</c:v>
                </c:pt>
                <c:pt idx="1">
                  <c:v>Northeast</c:v>
                </c:pt>
                <c:pt idx="2">
                  <c:v>Midwest</c:v>
                </c:pt>
                <c:pt idx="3">
                  <c:v>SOUTH</c:v>
                </c:pt>
                <c:pt idx="4">
                  <c:v>West</c:v>
                </c:pt>
                <c:pt idx="5">
                  <c:v>midwest </c:v>
                </c:pt>
                <c:pt idx="6">
                  <c:v>West </c:v>
                </c:pt>
                <c:pt idx="7">
                  <c:v>Northeast </c:v>
                </c:pt>
                <c:pt idx="8">
                  <c:v> South</c:v>
                </c:pt>
              </c:strCache>
            </c:strRef>
          </c:cat>
          <c:val>
            <c:numRef>
              <c:f>Sheet2!$D$5:$D$14</c:f>
              <c:numCache>
                <c:formatCode>0</c:formatCode>
                <c:ptCount val="9"/>
                <c:pt idx="0">
                  <c:v>1000</c:v>
                </c:pt>
                <c:pt idx="1">
                  <c:v>162</c:v>
                </c:pt>
                <c:pt idx="2">
                  <c:v>154</c:v>
                </c:pt>
                <c:pt idx="3">
                  <c:v>100</c:v>
                </c:pt>
                <c:pt idx="4">
                  <c:v>91</c:v>
                </c:pt>
                <c:pt idx="5">
                  <c:v>90</c:v>
                </c:pt>
                <c:pt idx="6">
                  <c:v>74</c:v>
                </c:pt>
                <c:pt idx="7">
                  <c:v>56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5-45DB-A42F-230E37BCB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599687056"/>
        <c:axId val="1481231600"/>
      </c:barChart>
      <c:catAx>
        <c:axId val="159968705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31600"/>
        <c:crosses val="autoZero"/>
        <c:auto val="1"/>
        <c:lblAlgn val="ctr"/>
        <c:lblOffset val="100"/>
        <c:noMultiLvlLbl val="0"/>
      </c:catAx>
      <c:valAx>
        <c:axId val="148123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8705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1814</xdr:colOff>
      <xdr:row>3</xdr:row>
      <xdr:rowOff>9676</xdr:rowOff>
    </xdr:from>
    <xdr:to>
      <xdr:col>12</xdr:col>
      <xdr:colOff>78014</xdr:colOff>
      <xdr:row>18</xdr:row>
      <xdr:rowOff>50801</xdr:rowOff>
    </xdr:to>
    <xdr:graphicFrame macro="">
      <xdr:nvGraphicFramePr>
        <xdr:cNvPr id="2" name="Chart 1" descr="Chart type: Clustered Bar. 'Units' by 'Region'&#10;&#10;Description automatically generated">
          <a:extLst>
            <a:ext uri="{FF2B5EF4-FFF2-40B4-BE49-F238E27FC236}">
              <a16:creationId xmlns:a16="http://schemas.microsoft.com/office/drawing/2014/main" id="{A5ED831B-7045-85FB-DC64-E72C90205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6294.509636342591" createdVersion="8" refreshedVersion="8" minRefreshableVersion="3" recordCount="55" xr:uid="{60C5414C-587D-4A89-B1B0-27492EF10FEA}">
  <cacheSource type="worksheet">
    <worksheetSource name="orders"/>
  </cacheSource>
  <cacheFields count="9">
    <cacheField name="Order ID" numFmtId="0">
      <sharedItems containsBlank="1"/>
    </cacheField>
    <cacheField name="Order Date" numFmtId="14">
      <sharedItems containsNonDate="0" containsDate="1" containsString="0" containsBlank="1" minDate="2026-01-01T00:00:00" maxDate="2026-05-29T00:00:00"/>
    </cacheField>
    <cacheField name="Rep Email" numFmtId="0">
      <sharedItems containsBlank="1"/>
    </cacheField>
    <cacheField name="Product - Category" numFmtId="0">
      <sharedItems containsBlank="1"/>
    </cacheField>
    <cacheField name="Region" numFmtId="0">
      <sharedItems containsBlank="1" count="9">
        <s v="Northeast "/>
        <s v="Northeast"/>
        <s v="West"/>
        <s v="midwest "/>
        <s v="Midwest"/>
        <s v="West "/>
        <s v="SOUTH"/>
        <s v=" South"/>
        <m/>
      </sharedItems>
    </cacheField>
    <cacheField name="Units" numFmtId="1">
      <sharedItems containsSemiMixedTypes="0" containsString="0" containsNumber="1" containsInteger="1" minValue="4" maxValue="1000"/>
    </cacheField>
    <cacheField name="Unit Price" numFmtId="164">
      <sharedItems containsString="0" containsBlank="1" containsNumber="1" containsInteger="1" minValue="42" maxValue="549"/>
    </cacheField>
    <cacheField name="Total Sales" numFmtId="164">
      <sharedItems containsSemiMixedTypes="0" containsString="0" containsNumber="1" containsInteger="1" minValue="0" maxValue="12078"/>
    </cacheField>
    <cacheField name="Rep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SO-10401"/>
    <d v="2026-01-01T00:00:00"/>
    <s v="marcus.webb@lakeshoresupply.com"/>
    <s v="Copy Paper - Office Supplies"/>
    <x v="0"/>
    <n v="4"/>
    <n v="42"/>
    <n v="168"/>
    <s v="Marcus Webb"/>
  </r>
  <r>
    <s v="SO-10402"/>
    <d v="2026-02-08T00:00:00"/>
    <s v="dana.kowalski@lakeshoresupply.com"/>
    <s v="Laser Printer - Technology"/>
    <x v="1"/>
    <n v="23"/>
    <n v="379"/>
    <n v="8717"/>
    <s v="Dana Kowalski"/>
  </r>
  <r>
    <s v="SO-10403"/>
    <d v="2026-01-22T00:00:00"/>
    <s v="priya.raman@lakeshoresupply.com"/>
    <s v="Laser Printer - Technology"/>
    <x v="2"/>
    <n v="19"/>
    <n v="379"/>
    <n v="7201"/>
    <s v="Priya Raman"/>
  </r>
  <r>
    <s v="SO-10405"/>
    <d v="2026-01-01T00:00:00"/>
    <s v="tom.delgado@lakeshoresupply.com"/>
    <s v="Copy Paper - Office Supplies"/>
    <x v="1"/>
    <n v="4"/>
    <n v="42"/>
    <n v="168"/>
    <s v="Tom Delgado"/>
  </r>
  <r>
    <s v="SO-10406"/>
    <d v="2026-02-17T00:00:00"/>
    <s v="marcus.webb@lakeshoresupply.com"/>
    <s v="Laser Printer - Technology"/>
    <x v="1"/>
    <n v="4"/>
    <n v="379"/>
    <n v="1516"/>
    <s v="Marcus Webb"/>
  </r>
  <r>
    <s v="SO-10410"/>
    <d v="2026-01-25T00:00:00"/>
    <s v="tom.delgado@lakeshoresupply.com"/>
    <s v="Task Chair - Furniture"/>
    <x v="3"/>
    <n v="22"/>
    <n v="219"/>
    <n v="4818"/>
    <s v="Tom Delgado"/>
  </r>
  <r>
    <s v="SO-10412"/>
    <d v="2026-02-25T00:00:00"/>
    <s v="marcus.webb@lakeshoresupply.com"/>
    <s v="Task Chair - Furniture"/>
    <x v="1"/>
    <n v="16"/>
    <n v="219"/>
    <n v="3504"/>
    <s v="Marcus Webb"/>
  </r>
  <r>
    <s v="SO-10413"/>
    <d v="2026-01-13T00:00:00"/>
    <s v="tom.delgado@lakeshoresupply.com"/>
    <s v="Laser Printer - Technology"/>
    <x v="4"/>
    <n v="22"/>
    <n v="379"/>
    <n v="8338"/>
    <s v="Tom Delgado"/>
  </r>
  <r>
    <s v="SO-10414"/>
    <d v="2026-03-20T00:00:00"/>
    <s v="dana.kowalski@lakeshoresupply.com"/>
    <s v="Toner Cartridge - Office Supplies"/>
    <x v="1"/>
    <n v="17"/>
    <n v="89"/>
    <n v="1513"/>
    <s v="Dana Kowalski"/>
  </r>
  <r>
    <s v="SO-10415"/>
    <d v="2026-01-24T00:00:00"/>
    <s v="dana.kowalski@lakeshoresupply.com"/>
    <s v="Toner Cartridge - Office Supplies"/>
    <x v="2"/>
    <n v="14"/>
    <n v="89"/>
    <n v="1246"/>
    <s v="Dana Kowalski"/>
  </r>
  <r>
    <s v="SO-10416"/>
    <d v="2026-01-13T00:00:00"/>
    <s v="tom.delgado@lakeshoresupply.com"/>
    <s v="Standing Desk - Furniture"/>
    <x v="5"/>
    <n v="19"/>
    <n v="549"/>
    <n v="10431"/>
    <s v="Tom Delgado"/>
  </r>
  <r>
    <s v="SO-10417"/>
    <d v="2026-03-27T00:00:00"/>
    <s v="marcus.webb@lakeshoresupply.com"/>
    <s v="Standing Desk - Furniture"/>
    <x v="1"/>
    <n v="20"/>
    <n v="549"/>
    <n v="10980"/>
    <s v="Marcus Webb"/>
  </r>
  <r>
    <s v="SO-10418"/>
    <d v="2026-03-19T00:00:00"/>
    <s v="priya.raman@lakeshoresupply.com"/>
    <s v="Copy Paper - Office Supplies"/>
    <x v="3"/>
    <n v="17"/>
    <n v="42"/>
    <n v="714"/>
    <s v="Priya Raman"/>
  </r>
  <r>
    <s v="SO-10419"/>
    <d v="2026-01-02T00:00:00"/>
    <s v="marcus.webb@lakeshoresupply.com"/>
    <s v="Copy Paper - Office Supplies"/>
    <x v="4"/>
    <n v="4"/>
    <n v="42"/>
    <n v="168"/>
    <s v="Marcus Webb"/>
  </r>
  <r>
    <s v="SO-10420"/>
    <d v="2026-03-03T00:00:00"/>
    <s v="marcus.webb@lakeshoresupply.com"/>
    <s v="Task Chair - Furniture"/>
    <x v="3"/>
    <n v="9"/>
    <n v="219"/>
    <n v="1971"/>
    <s v="Marcus Webb"/>
  </r>
  <r>
    <s v="SO-10421"/>
    <d v="2026-01-13T00:00:00"/>
    <s v="dana.kowalski@lakeshoresupply.com"/>
    <s v="Task Chair - Furniture"/>
    <x v="6"/>
    <n v="8"/>
    <n v="219"/>
    <n v="1752"/>
    <s v="Dana Kowalski"/>
  </r>
  <r>
    <s v="SO-10422"/>
    <d v="2026-03-06T00:00:00"/>
    <s v="priya.raman@lakeshoresupply.com"/>
    <s v="Task Chair - Furniture"/>
    <x v="0"/>
    <n v="22"/>
    <n v="219"/>
    <n v="4818"/>
    <s v="Priya Raman"/>
  </r>
  <r>
    <s v="SO-10423"/>
    <d v="2026-02-22T00:00:00"/>
    <s v="dana.kowalski@lakeshoresupply.com"/>
    <s v="Copy Paper - Office Supplies"/>
    <x v="5"/>
    <n v="20"/>
    <n v="42"/>
    <n v="840"/>
    <s v="Dana Kowalski"/>
  </r>
  <r>
    <s v="SO-10424"/>
    <d v="2026-01-20T00:00:00"/>
    <s v="marcus.webb@lakeshoresupply.com"/>
    <s v="Laser Printer - Technology"/>
    <x v="6"/>
    <n v="13"/>
    <n v="379"/>
    <n v="4927"/>
    <s v="Marcus Webb"/>
  </r>
  <r>
    <s v="SO-10428"/>
    <d v="2026-01-08T00:00:00"/>
    <s v="marcus.webb@lakeshoresupply.com"/>
    <s v="Conference Phone - Technology"/>
    <x v="6"/>
    <n v="23"/>
    <n v="269"/>
    <n v="6187"/>
    <s v="Marcus Webb"/>
  </r>
  <r>
    <s v="SO-10429"/>
    <d v="2026-03-13T00:00:00"/>
    <s v="tom.delgado@lakeshoresupply.com"/>
    <s v="Standing Desk - Furniture"/>
    <x v="4"/>
    <n v="22"/>
    <n v="549"/>
    <n v="12078"/>
    <s v="Tom Delgado"/>
  </r>
  <r>
    <s v="SO-10430"/>
    <d v="2026-02-19T00:00:00"/>
    <s v="dana.kowalski@lakeshoresupply.com"/>
    <s v="Standing Desk - Furniture"/>
    <x v="0"/>
    <n v="10"/>
    <n v="549"/>
    <n v="5490"/>
    <s v="Dana Kowalski"/>
  </r>
  <r>
    <s v="SO-10431"/>
    <d v="2026-03-07T00:00:00"/>
    <s v="sam.osei@lakeshoresupply.com"/>
    <s v="Task Chair - Furniture"/>
    <x v="4"/>
    <n v="4"/>
    <n v="219"/>
    <n v="876"/>
    <s v="Sam Osei"/>
  </r>
  <r>
    <s v="SO-10433"/>
    <d v="2026-03-05T00:00:00"/>
    <s v="dana.kowalski@lakeshoresupply.com"/>
    <s v="Standing Desk - Furniture"/>
    <x v="6"/>
    <n v="13"/>
    <n v="549"/>
    <n v="7137"/>
    <s v="Dana Kowalski"/>
  </r>
  <r>
    <s v="SO-10437"/>
    <d v="2026-02-17T00:00:00"/>
    <s v="dana.kowalski@lakeshoresupply.com"/>
    <s v="Task Chair - Furniture"/>
    <x v="1"/>
    <n v="16"/>
    <n v="219"/>
    <n v="3504"/>
    <s v="Dana Kowalski"/>
  </r>
  <r>
    <s v="SO-10438"/>
    <d v="2026-01-28T00:00:00"/>
    <s v="marcus.webb@lakeshoresupply.com"/>
    <s v="Toner Cartridge - Office Supplies"/>
    <x v="3"/>
    <n v="8"/>
    <n v="89"/>
    <n v="712"/>
    <s v="Marcus Webb"/>
  </r>
  <r>
    <s v="SO-10439"/>
    <d v="2026-02-26T00:00:00"/>
    <s v="dana.kowalski@lakeshoresupply.com"/>
    <s v="Standing Desk - Furniture"/>
    <x v="7"/>
    <n v="18"/>
    <n v="549"/>
    <n v="9882"/>
    <s v="Dana Kowalski"/>
  </r>
  <r>
    <s v="SO-10443"/>
    <d v="2026-01-22T00:00:00"/>
    <s v="tom.delgado@lakeshoresupply.com"/>
    <s v="Copy Paper - Office Supplies"/>
    <x v="1"/>
    <n v="15"/>
    <n v="42"/>
    <n v="630"/>
    <s v="Tom Delgado"/>
  </r>
  <r>
    <s v="SO-10444"/>
    <d v="2026-03-25T00:00:00"/>
    <s v="priya.raman@lakeshoresupply.com"/>
    <s v="Laser Printer - Technology"/>
    <x v="7"/>
    <n v="5"/>
    <n v="379"/>
    <n v="1895"/>
    <s v="Priya Raman"/>
  </r>
  <r>
    <s v="SO-10445"/>
    <d v="2026-01-10T00:00:00"/>
    <s v="priya.raman@lakeshoresupply.com"/>
    <s v="Conference Phone - Technology"/>
    <x v="2"/>
    <n v="14"/>
    <n v="269"/>
    <n v="3766"/>
    <s v="Priya Raman"/>
  </r>
  <r>
    <s v="SO-10447"/>
    <d v="2026-03-17T00:00:00"/>
    <s v="aisha.clark@lakeshoresupply.com"/>
    <s v="Copy Paper - Office Supplies"/>
    <x v="6"/>
    <n v="8"/>
    <n v="42"/>
    <n v="336"/>
    <s v="Aisha Clark"/>
  </r>
  <r>
    <s v="SO-10449"/>
    <d v="2026-03-27T00:00:00"/>
    <s v="sam.osei@lakeshoresupply.com"/>
    <s v="Toner Cartridge - Office Supplies"/>
    <x v="4"/>
    <n v="18"/>
    <n v="89"/>
    <n v="1602"/>
    <s v="Sam Osei"/>
  </r>
  <r>
    <s v="SO-10451"/>
    <d v="2026-02-18T00:00:00"/>
    <s v="tom.delgado@lakeshoresupply.com"/>
    <s v="Laser Printer - Technology"/>
    <x v="4"/>
    <n v="15"/>
    <n v="379"/>
    <n v="5685"/>
    <s v="Tom Delgado"/>
  </r>
  <r>
    <s v="SO-10454"/>
    <d v="2026-03-27T00:00:00"/>
    <s v="tom.delgado@lakeshoresupply.com"/>
    <s v="Copy Paper - Office Supplies"/>
    <x v="1"/>
    <n v="16"/>
    <n v="42"/>
    <n v="672"/>
    <s v="Tom Delgado"/>
  </r>
  <r>
    <s v="SO-10404"/>
    <d v="2026-05-03T00:00:00"/>
    <s v="sam.osei@lakeshoresupply.com"/>
    <s v="Standing Desk - Furniture"/>
    <x v="5"/>
    <n v="22"/>
    <n v="549"/>
    <n v="12078"/>
    <s v="Sam Osei"/>
  </r>
  <r>
    <s v="SO-10407"/>
    <d v="2026-05-07T00:00:00"/>
    <s v="dana.kowalski@lakeshoresupply.com"/>
    <s v="Copy Paper - Office Supplies"/>
    <x v="6"/>
    <n v="18"/>
    <n v="42"/>
    <n v="756"/>
    <s v="Dana Kowalski"/>
  </r>
  <r>
    <s v="SO-10408"/>
    <d v="2026-05-14T00:00:00"/>
    <s v="marcus.webb@lakeshoresupply.com"/>
    <s v="Laser Printer - Technology"/>
    <x v="0"/>
    <n v="20"/>
    <n v="379"/>
    <n v="7580"/>
    <s v="Marcus Webb"/>
  </r>
  <r>
    <s v="SO-10409"/>
    <d v="2026-05-09T00:00:00"/>
    <s v="tom.delgado@lakeshoresupply.com"/>
    <s v="Task Chair - Furniture"/>
    <x v="1"/>
    <n v="5"/>
    <n v="219"/>
    <n v="1095"/>
    <s v="Tom Delgado"/>
  </r>
  <r>
    <s v="SO-10411"/>
    <d v="2026-04-11T00:00:00"/>
    <s v="tom.delgado@lakeshoresupply.com"/>
    <s v="Conference Phone - Technology"/>
    <x v="6"/>
    <n v="9"/>
    <n v="269"/>
    <n v="2421"/>
    <s v="Tom Delgado"/>
  </r>
  <r>
    <s v="SO-10425"/>
    <d v="2026-05-24T00:00:00"/>
    <s v="priya.raman@lakeshoresupply.com"/>
    <s v="Standing Desk - Furniture"/>
    <x v="1"/>
    <n v="19"/>
    <n v="549"/>
    <n v="10431"/>
    <s v="Priya Raman"/>
  </r>
  <r>
    <s v="SO-10426"/>
    <d v="2026-04-13T00:00:00"/>
    <s v="sam.osei@lakeshoresupply.com"/>
    <s v="Laser Printer - Technology"/>
    <x v="3"/>
    <n v="19"/>
    <n v="379"/>
    <n v="7201"/>
    <s v="Sam Osei"/>
  </r>
  <r>
    <s v="SO-10427"/>
    <d v="2026-05-08T00:00:00"/>
    <s v="marcus.webb@lakeshoresupply.com"/>
    <s v="Standing Desk - Furniture"/>
    <x v="4"/>
    <n v="19"/>
    <n v="549"/>
    <n v="10431"/>
    <s v="Marcus Webb"/>
  </r>
  <r>
    <s v="SO-10432"/>
    <d v="2026-04-21T00:00:00"/>
    <s v="marcus.webb@lakeshoresupply.com"/>
    <s v="Laser Printer - Technology"/>
    <x v="4"/>
    <n v="20"/>
    <n v="379"/>
    <n v="7580"/>
    <s v="Marcus Webb"/>
  </r>
  <r>
    <s v="SO-10434"/>
    <d v="2026-05-18T00:00:00"/>
    <s v="dana.kowalski@lakeshoresupply.com"/>
    <s v="Standing Desk - Furniture"/>
    <x v="5"/>
    <n v="6"/>
    <n v="549"/>
    <n v="3294"/>
    <s v="Dana Kowalski"/>
  </r>
  <r>
    <s v="SO-10435"/>
    <d v="2026-05-14T00:00:00"/>
    <s v="marcus.webb@lakeshoresupply.com"/>
    <s v="Toner Cartridge - Office Supplies"/>
    <x v="2"/>
    <n v="7"/>
    <n v="89"/>
    <n v="623"/>
    <s v="Marcus Webb"/>
  </r>
  <r>
    <s v="SO-10436"/>
    <d v="2026-04-12T00:00:00"/>
    <s v="tom.delgado@lakeshoresupply.com"/>
    <s v="Conference Phone - Technology"/>
    <x v="1"/>
    <n v="7"/>
    <n v="269"/>
    <n v="1883"/>
    <s v="Tom Delgado"/>
  </r>
  <r>
    <s v="SO-10440"/>
    <d v="2026-05-03T00:00:00"/>
    <s v="aisha.clark@lakeshoresupply.com"/>
    <s v="Standing Desk - Furniture"/>
    <x v="4"/>
    <n v="10"/>
    <n v="549"/>
    <n v="5490"/>
    <s v="Aisha Clark"/>
  </r>
  <r>
    <s v="SO-10441"/>
    <d v="2026-05-15T00:00:00"/>
    <s v="priya.raman@lakeshoresupply.com"/>
    <s v="Copy Paper - Office Supplies"/>
    <x v="3"/>
    <n v="15"/>
    <n v="42"/>
    <n v="630"/>
    <s v="Priya Raman"/>
  </r>
  <r>
    <s v="SO-10442"/>
    <d v="2026-05-28T00:00:00"/>
    <s v="tom.delgado@lakeshoresupply.com"/>
    <s v="Laser Printer - Technology"/>
    <x v="4"/>
    <n v="20"/>
    <n v="379"/>
    <n v="7580"/>
    <s v="Tom Delgado"/>
  </r>
  <r>
    <s v="SO-10446"/>
    <d v="2026-04-01T00:00:00"/>
    <s v="marcus.webb@lakeshoresupply.com"/>
    <s v="Task Chair - Furniture"/>
    <x v="5"/>
    <n v="7"/>
    <n v="219"/>
    <n v="1533"/>
    <s v="Marcus Webb"/>
  </r>
  <r>
    <s v="SO-10448"/>
    <d v="2026-05-04T00:00:00"/>
    <s v="sam.osei@lakeshoresupply.com"/>
    <s v="Standing Desk - Furniture"/>
    <x v="2"/>
    <n v="16"/>
    <n v="549"/>
    <n v="8784"/>
    <s v="Sam Osei"/>
  </r>
  <r>
    <s v="SO-10450"/>
    <d v="2026-05-07T00:00:00"/>
    <s v="dana.kowalski@lakeshoresupply.com"/>
    <s v="Toner Cartridge - Office Supplies"/>
    <x v="6"/>
    <n v="8"/>
    <n v="89"/>
    <n v="712"/>
    <s v="Dana Kowalski"/>
  </r>
  <r>
    <s v="SO-10452"/>
    <d v="2026-05-01T00:00:00"/>
    <s v="sam.osei@lakeshoresupply.com"/>
    <s v="Conference Phone - Technology"/>
    <x v="2"/>
    <n v="14"/>
    <n v="269"/>
    <n v="3766"/>
    <s v="Sam Osei"/>
  </r>
  <r>
    <s v="SO-10453"/>
    <d v="2026-04-01T00:00:00"/>
    <s v="dana.kowalski@lakeshoresupply.com"/>
    <s v="Copy Paper - Office Supplies"/>
    <x v="2"/>
    <n v="7"/>
    <n v="42"/>
    <n v="294"/>
    <s v="Dana Kowalski"/>
  </r>
  <r>
    <m/>
    <m/>
    <m/>
    <m/>
    <x v="8"/>
    <n v="1000"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EC4E3-62C0-44CD-85ED-ECCCFD3C4FC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14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4"/>
        <item x="6"/>
        <item x="2"/>
        <item x="7"/>
        <item x="3"/>
        <item x="0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howAll="0"/>
    <pivotField compact="0" outline="0" showAll="0"/>
    <pivotField compact="0" numFmtId="164" outline="0" showAll="0"/>
    <pivotField compact="0" outline="0" showAll="0"/>
  </pivotFields>
  <rowFields count="1">
    <field x="4"/>
  </rowFields>
  <rowItems count="10">
    <i>
      <x v="8"/>
    </i>
    <i>
      <x/>
    </i>
    <i>
      <x v="1"/>
    </i>
    <i>
      <x v="2"/>
    </i>
    <i>
      <x v="3"/>
    </i>
    <i>
      <x v="5"/>
    </i>
    <i>
      <x v="7"/>
    </i>
    <i>
      <x v="6"/>
    </i>
    <i>
      <x v="4"/>
    </i>
    <i t="grand">
      <x/>
    </i>
  </rowItems>
  <colItems count="1">
    <i/>
  </colItems>
  <dataFields count="1">
    <dataField name="Sum of Units" fld="5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51DF9-043A-4348-BA85-99D997CD19E5}" name="orders" displayName="orders" ref="A1:I56" headerRowDxfId="10">
  <autoFilter ref="A1:I56" xr:uid="{69E51DF9-043A-4348-BA85-99D997CD19E5}"/>
  <tableColumns count="9">
    <tableColumn id="1" xr3:uid="{B0F93D06-7234-4903-9721-DC6078369EEB}" name="Order ID" totalsRowLabel="Total"/>
    <tableColumn id="2" xr3:uid="{49404746-8688-4CE7-9C18-492CFD5A4A0B}" name="Order Date" dataDxfId="13"/>
    <tableColumn id="3" xr3:uid="{2EAC1CCD-D0F2-4D49-8270-C9479C695AFA}" name="Rep Email"/>
    <tableColumn id="4" xr3:uid="{725AB4A4-0784-42A3-A410-644F455A7DC7}" name="Product - Category"/>
    <tableColumn id="5" xr3:uid="{414796EC-7EEE-48FE-BD42-55A79496E452}" name="Region"/>
    <tableColumn id="6" xr3:uid="{34EA2C88-743F-4288-AC54-7D20FA2F3963}" name="Units" totalsRowFunction="sum" dataDxfId="12" totalsRowDxfId="7"/>
    <tableColumn id="7" xr3:uid="{83CFB439-DC65-4EF3-A296-33AE31221C45}" name="Unit Price" dataDxfId="11"/>
    <tableColumn id="9" xr3:uid="{13F8D980-1E74-4690-B097-E31D9AAAD40A}" name="Total Sales" totalsRowFunction="sum" dataDxfId="9" totalsRowDxfId="8">
      <calculatedColumnFormula>orders[[#This Row],[Units]] * orders[[#This Row],[Unit Price]]</calculatedColumnFormula>
    </tableColumn>
    <tableColumn id="8" xr3:uid="{73C56585-2C19-426E-BF37-661F6E7FF2F5}" name="Rep Name" totalsRowFunction="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A098D-CB36-414A-9BE9-83A7D639D45E}" name="quarter_sales" displayName="quarter_sales" ref="A1:E10" totalsRowShown="0" headerRowDxfId="0" dataDxfId="1">
  <autoFilter ref="A1:E10" xr:uid="{6BAA098D-CB36-414A-9BE9-83A7D639D45E}"/>
  <tableColumns count="5">
    <tableColumn id="1" xr3:uid="{BA2FF782-2409-47E3-8ECE-438E448E5355}" name="Rep Name" dataDxfId="6"/>
    <tableColumn id="2" xr3:uid="{0D6DBE44-3EEF-45F5-9EE5-92A652D10956}" name="Region" dataDxfId="5"/>
    <tableColumn id="3" xr3:uid="{57080818-A25D-479B-B37C-BE4D1F52D1BF}" name="Product Category" dataDxfId="4"/>
    <tableColumn id="4" xr3:uid="{AA6C4ADC-970B-4B0D-BFFE-8B8DCB5E3E40}" name="Q1 Units" dataDxfId="3"/>
    <tableColumn id="5" xr3:uid="{F5A6AF03-F8A4-4AF6-BF1D-EE98D7196668}" name="Q2 Unit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F3338"/>
  </sheetPr>
  <dimension ref="B1:C15"/>
  <sheetViews>
    <sheetView showGridLines="0" topLeftCell="A7" workbookViewId="0"/>
  </sheetViews>
  <sheetFormatPr defaultRowHeight="14.35" x14ac:dyDescent="0.5"/>
  <cols>
    <col min="1" max="1" width="2.46875" customWidth="1"/>
    <col min="2" max="2" width="15" customWidth="1"/>
    <col min="3" max="3" width="74" customWidth="1"/>
    <col min="4" max="4" width="2" customWidth="1"/>
  </cols>
  <sheetData>
    <row r="1" spans="2:3" ht="28.1" customHeight="1" x14ac:dyDescent="1.3">
      <c r="B1" s="1" t="s">
        <v>0</v>
      </c>
    </row>
    <row r="2" spans="2:3" x14ac:dyDescent="0.5">
      <c r="B2" s="14" t="s">
        <v>1</v>
      </c>
      <c r="C2" s="13"/>
    </row>
    <row r="3" spans="2:3" ht="28.1" customHeight="1" x14ac:dyDescent="0.5">
      <c r="B3" s="16" t="s">
        <v>2</v>
      </c>
      <c r="C3" s="13"/>
    </row>
    <row r="5" spans="2:3" ht="22.1" customHeight="1" x14ac:dyDescent="0.5">
      <c r="B5" s="17" t="s">
        <v>3</v>
      </c>
      <c r="C5" s="13"/>
    </row>
    <row r="6" spans="2:3" ht="21" customHeight="1" x14ac:dyDescent="0.5">
      <c r="B6" s="12" t="s">
        <v>4</v>
      </c>
      <c r="C6" s="13"/>
    </row>
    <row r="7" spans="2:3" ht="102" customHeight="1" x14ac:dyDescent="0.5">
      <c r="B7" s="2" t="s">
        <v>5</v>
      </c>
      <c r="C7" s="3" t="s">
        <v>6</v>
      </c>
    </row>
    <row r="8" spans="2:3" ht="10.1" customHeight="1" x14ac:dyDescent="0.5"/>
    <row r="10" spans="2:3" ht="22.1" customHeight="1" x14ac:dyDescent="0.5">
      <c r="B10" s="17" t="s">
        <v>7</v>
      </c>
      <c r="C10" s="13"/>
    </row>
    <row r="11" spans="2:3" ht="21" customHeight="1" x14ac:dyDescent="0.5">
      <c r="B11" s="12" t="s">
        <v>8</v>
      </c>
      <c r="C11" s="13"/>
    </row>
    <row r="12" spans="2:3" ht="102" customHeight="1" x14ac:dyDescent="0.5">
      <c r="B12" s="2" t="s">
        <v>5</v>
      </c>
      <c r="C12" s="3" t="s">
        <v>9</v>
      </c>
    </row>
    <row r="13" spans="2:3" ht="10.1" customHeight="1" x14ac:dyDescent="0.5"/>
    <row r="14" spans="2:3" ht="18" customHeight="1" x14ac:dyDescent="0.5">
      <c r="B14" s="18" t="s">
        <v>10</v>
      </c>
      <c r="C14" s="13"/>
    </row>
    <row r="15" spans="2:3" ht="23" customHeight="1" x14ac:dyDescent="0.5">
      <c r="B15" s="15" t="s">
        <v>11</v>
      </c>
      <c r="C15" s="13"/>
    </row>
  </sheetData>
  <mergeCells count="8">
    <mergeCell ref="B6:C6"/>
    <mergeCell ref="B2:C2"/>
    <mergeCell ref="B15:C15"/>
    <mergeCell ref="B11:C11"/>
    <mergeCell ref="B3:C3"/>
    <mergeCell ref="B5:C5"/>
    <mergeCell ref="B10:C10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zoomScale="130" zoomScaleNormal="130" workbookViewId="0">
      <pane ySplit="1" topLeftCell="A8" activePane="bottomLeft" state="frozen"/>
      <selection pane="bottomLeft" sqref="A1:I56"/>
    </sheetView>
  </sheetViews>
  <sheetFormatPr defaultRowHeight="14.35" x14ac:dyDescent="0.5"/>
  <cols>
    <col min="1" max="1" width="14" customWidth="1"/>
    <col min="2" max="2" width="11.05859375" customWidth="1"/>
    <col min="3" max="3" width="30.234375" bestFit="1" customWidth="1"/>
    <col min="4" max="4" width="26.41015625" bestFit="1" customWidth="1"/>
    <col min="5" max="5" width="12" customWidth="1"/>
    <col min="6" max="6" width="6.3515625" customWidth="1"/>
    <col min="7" max="7" width="10.1171875" customWidth="1"/>
    <col min="8" max="8" width="11.76171875" customWidth="1"/>
    <col min="9" max="9" width="14" customWidth="1"/>
  </cols>
  <sheetData>
    <row r="1" spans="1:9" x14ac:dyDescent="0.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111</v>
      </c>
      <c r="I1" s="4" t="s">
        <v>19</v>
      </c>
    </row>
    <row r="2" spans="1:9" x14ac:dyDescent="0.5">
      <c r="A2" t="s">
        <v>20</v>
      </c>
      <c r="B2" s="5">
        <v>46023</v>
      </c>
      <c r="C2" t="s">
        <v>21</v>
      </c>
      <c r="D2" t="s">
        <v>22</v>
      </c>
      <c r="E2" t="s">
        <v>23</v>
      </c>
      <c r="F2" s="6">
        <v>4</v>
      </c>
      <c r="G2" s="7">
        <v>42</v>
      </c>
      <c r="H2" s="7">
        <f>orders[[#This Row],[Units]] * orders[[#This Row],[Unit Price]]</f>
        <v>168</v>
      </c>
      <c r="I2" t="s">
        <v>24</v>
      </c>
    </row>
    <row r="3" spans="1:9" x14ac:dyDescent="0.5">
      <c r="A3" t="s">
        <v>25</v>
      </c>
      <c r="B3" s="5">
        <v>46061</v>
      </c>
      <c r="C3" t="s">
        <v>26</v>
      </c>
      <c r="D3" t="s">
        <v>27</v>
      </c>
      <c r="E3" t="s">
        <v>28</v>
      </c>
      <c r="F3" s="6">
        <v>23</v>
      </c>
      <c r="G3" s="7">
        <v>379</v>
      </c>
      <c r="H3" s="7">
        <f>orders[[#This Row],[Units]] * orders[[#This Row],[Unit Price]]</f>
        <v>8717</v>
      </c>
      <c r="I3" t="s">
        <v>29</v>
      </c>
    </row>
    <row r="4" spans="1:9" x14ac:dyDescent="0.5">
      <c r="A4" t="s">
        <v>30</v>
      </c>
      <c r="B4" s="5">
        <v>46044</v>
      </c>
      <c r="C4" t="s">
        <v>31</v>
      </c>
      <c r="D4" t="s">
        <v>27</v>
      </c>
      <c r="E4" t="s">
        <v>32</v>
      </c>
      <c r="F4" s="6">
        <v>19</v>
      </c>
      <c r="G4" s="7">
        <v>379</v>
      </c>
      <c r="H4" s="7">
        <f>orders[[#This Row],[Units]] * orders[[#This Row],[Unit Price]]</f>
        <v>7201</v>
      </c>
      <c r="I4" t="s">
        <v>33</v>
      </c>
    </row>
    <row r="5" spans="1:9" x14ac:dyDescent="0.5">
      <c r="A5" t="s">
        <v>34</v>
      </c>
      <c r="B5" s="5">
        <v>46023</v>
      </c>
      <c r="C5" t="s">
        <v>35</v>
      </c>
      <c r="D5" t="s">
        <v>22</v>
      </c>
      <c r="E5" t="s">
        <v>28</v>
      </c>
      <c r="F5" s="6">
        <v>4</v>
      </c>
      <c r="G5" s="7">
        <v>42</v>
      </c>
      <c r="H5" s="7">
        <f>orders[[#This Row],[Units]] * orders[[#This Row],[Unit Price]]</f>
        <v>168</v>
      </c>
      <c r="I5" t="s">
        <v>36</v>
      </c>
    </row>
    <row r="6" spans="1:9" x14ac:dyDescent="0.5">
      <c r="A6" t="s">
        <v>37</v>
      </c>
      <c r="B6" s="5">
        <v>46070</v>
      </c>
      <c r="C6" t="s">
        <v>21</v>
      </c>
      <c r="D6" t="s">
        <v>27</v>
      </c>
      <c r="E6" t="s">
        <v>28</v>
      </c>
      <c r="F6" s="6">
        <v>4</v>
      </c>
      <c r="G6" s="7">
        <v>379</v>
      </c>
      <c r="H6" s="7">
        <f>orders[[#This Row],[Units]] * orders[[#This Row],[Unit Price]]</f>
        <v>1516</v>
      </c>
      <c r="I6" t="s">
        <v>24</v>
      </c>
    </row>
    <row r="7" spans="1:9" x14ac:dyDescent="0.5">
      <c r="A7" t="s">
        <v>38</v>
      </c>
      <c r="B7" s="5">
        <v>46047</v>
      </c>
      <c r="C7" t="s">
        <v>35</v>
      </c>
      <c r="D7" t="s">
        <v>39</v>
      </c>
      <c r="E7" t="s">
        <v>40</v>
      </c>
      <c r="F7" s="6">
        <v>22</v>
      </c>
      <c r="G7" s="7">
        <v>219</v>
      </c>
      <c r="H7" s="7">
        <f>orders[[#This Row],[Units]] * orders[[#This Row],[Unit Price]]</f>
        <v>4818</v>
      </c>
      <c r="I7" t="s">
        <v>36</v>
      </c>
    </row>
    <row r="8" spans="1:9" x14ac:dyDescent="0.5">
      <c r="A8" t="s">
        <v>41</v>
      </c>
      <c r="B8" s="5">
        <v>46078</v>
      </c>
      <c r="C8" t="s">
        <v>21</v>
      </c>
      <c r="D8" t="s">
        <v>39</v>
      </c>
      <c r="E8" t="s">
        <v>42</v>
      </c>
      <c r="F8" s="6">
        <v>16</v>
      </c>
      <c r="G8" s="7">
        <v>219</v>
      </c>
      <c r="H8" s="7">
        <f>orders[[#This Row],[Units]] * orders[[#This Row],[Unit Price]]</f>
        <v>3504</v>
      </c>
      <c r="I8" t="s">
        <v>24</v>
      </c>
    </row>
    <row r="9" spans="1:9" x14ac:dyDescent="0.5">
      <c r="A9" t="s">
        <v>43</v>
      </c>
      <c r="B9" s="5">
        <v>46035</v>
      </c>
      <c r="C9" t="s">
        <v>35</v>
      </c>
      <c r="D9" t="s">
        <v>27</v>
      </c>
      <c r="E9" t="s">
        <v>44</v>
      </c>
      <c r="F9" s="6">
        <v>22</v>
      </c>
      <c r="G9" s="7">
        <v>379</v>
      </c>
      <c r="H9" s="7">
        <f>orders[[#This Row],[Units]] * orders[[#This Row],[Unit Price]]</f>
        <v>8338</v>
      </c>
      <c r="I9" t="s">
        <v>36</v>
      </c>
    </row>
    <row r="10" spans="1:9" x14ac:dyDescent="0.5">
      <c r="A10" t="s">
        <v>45</v>
      </c>
      <c r="B10" s="5">
        <v>46101</v>
      </c>
      <c r="C10" t="s">
        <v>26</v>
      </c>
      <c r="D10" t="s">
        <v>46</v>
      </c>
      <c r="E10" t="s">
        <v>42</v>
      </c>
      <c r="F10" s="6">
        <v>17</v>
      </c>
      <c r="G10" s="7">
        <v>89</v>
      </c>
      <c r="H10" s="7">
        <f>orders[[#This Row],[Units]] * orders[[#This Row],[Unit Price]]</f>
        <v>1513</v>
      </c>
      <c r="I10" t="s">
        <v>29</v>
      </c>
    </row>
    <row r="11" spans="1:9" x14ac:dyDescent="0.5">
      <c r="A11" t="s">
        <v>47</v>
      </c>
      <c r="B11" s="5">
        <v>46046</v>
      </c>
      <c r="C11" t="s">
        <v>26</v>
      </c>
      <c r="D11" t="s">
        <v>46</v>
      </c>
      <c r="E11" t="s">
        <v>32</v>
      </c>
      <c r="F11" s="6">
        <v>14</v>
      </c>
      <c r="G11" s="7">
        <v>89</v>
      </c>
      <c r="H11" s="7">
        <f>orders[[#This Row],[Units]] * orders[[#This Row],[Unit Price]]</f>
        <v>1246</v>
      </c>
      <c r="I11" t="s">
        <v>29</v>
      </c>
    </row>
    <row r="12" spans="1:9" x14ac:dyDescent="0.5">
      <c r="A12" t="s">
        <v>48</v>
      </c>
      <c r="B12" s="5">
        <v>46035</v>
      </c>
      <c r="C12" t="s">
        <v>35</v>
      </c>
      <c r="D12" t="s">
        <v>49</v>
      </c>
      <c r="E12" t="s">
        <v>50</v>
      </c>
      <c r="F12" s="6">
        <v>19</v>
      </c>
      <c r="G12" s="7">
        <v>549</v>
      </c>
      <c r="H12" s="7">
        <f>orders[[#This Row],[Units]] * orders[[#This Row],[Unit Price]]</f>
        <v>10431</v>
      </c>
      <c r="I12" t="s">
        <v>36</v>
      </c>
    </row>
    <row r="13" spans="1:9" x14ac:dyDescent="0.5">
      <c r="A13" t="s">
        <v>51</v>
      </c>
      <c r="B13" s="5">
        <v>46108</v>
      </c>
      <c r="C13" t="s">
        <v>21</v>
      </c>
      <c r="D13" t="s">
        <v>49</v>
      </c>
      <c r="E13" t="s">
        <v>28</v>
      </c>
      <c r="F13" s="6">
        <v>20</v>
      </c>
      <c r="G13" s="7">
        <v>549</v>
      </c>
      <c r="H13" s="7">
        <f>orders[[#This Row],[Units]] * orders[[#This Row],[Unit Price]]</f>
        <v>10980</v>
      </c>
      <c r="I13" t="s">
        <v>24</v>
      </c>
    </row>
    <row r="14" spans="1:9" x14ac:dyDescent="0.5">
      <c r="A14" t="s">
        <v>52</v>
      </c>
      <c r="B14" s="5">
        <v>46100</v>
      </c>
      <c r="C14" t="s">
        <v>31</v>
      </c>
      <c r="D14" t="s">
        <v>22</v>
      </c>
      <c r="E14" t="s">
        <v>40</v>
      </c>
      <c r="F14" s="6">
        <v>17</v>
      </c>
      <c r="G14" s="7">
        <v>42</v>
      </c>
      <c r="H14" s="7">
        <f>orders[[#This Row],[Units]] * orders[[#This Row],[Unit Price]]</f>
        <v>714</v>
      </c>
      <c r="I14" t="s">
        <v>33</v>
      </c>
    </row>
    <row r="15" spans="1:9" x14ac:dyDescent="0.5">
      <c r="A15" t="s">
        <v>53</v>
      </c>
      <c r="B15" s="5">
        <v>46024</v>
      </c>
      <c r="C15" t="s">
        <v>21</v>
      </c>
      <c r="D15" t="s">
        <v>22</v>
      </c>
      <c r="E15" t="s">
        <v>44</v>
      </c>
      <c r="F15" s="6">
        <v>4</v>
      </c>
      <c r="G15" s="7">
        <v>42</v>
      </c>
      <c r="H15" s="7">
        <f>orders[[#This Row],[Units]] * orders[[#This Row],[Unit Price]]</f>
        <v>168</v>
      </c>
      <c r="I15" t="s">
        <v>24</v>
      </c>
    </row>
    <row r="16" spans="1:9" x14ac:dyDescent="0.5">
      <c r="A16" t="s">
        <v>54</v>
      </c>
      <c r="B16" s="5">
        <v>46084</v>
      </c>
      <c r="C16" t="s">
        <v>21</v>
      </c>
      <c r="D16" t="s">
        <v>39</v>
      </c>
      <c r="E16" t="s">
        <v>40</v>
      </c>
      <c r="F16" s="6">
        <v>9</v>
      </c>
      <c r="G16" s="7">
        <v>219</v>
      </c>
      <c r="H16" s="7">
        <f>orders[[#This Row],[Units]] * orders[[#This Row],[Unit Price]]</f>
        <v>1971</v>
      </c>
      <c r="I16" t="s">
        <v>24</v>
      </c>
    </row>
    <row r="17" spans="1:9" x14ac:dyDescent="0.5">
      <c r="A17" t="s">
        <v>55</v>
      </c>
      <c r="B17" s="5">
        <v>46035</v>
      </c>
      <c r="C17" t="s">
        <v>26</v>
      </c>
      <c r="D17" t="s">
        <v>39</v>
      </c>
      <c r="E17" t="s">
        <v>56</v>
      </c>
      <c r="F17" s="6">
        <v>8</v>
      </c>
      <c r="G17" s="7">
        <v>219</v>
      </c>
      <c r="H17" s="7">
        <f>orders[[#This Row],[Units]] * orders[[#This Row],[Unit Price]]</f>
        <v>1752</v>
      </c>
      <c r="I17" t="s">
        <v>29</v>
      </c>
    </row>
    <row r="18" spans="1:9" x14ac:dyDescent="0.5">
      <c r="A18" t="s">
        <v>57</v>
      </c>
      <c r="B18" s="5">
        <v>46087</v>
      </c>
      <c r="C18" t="s">
        <v>31</v>
      </c>
      <c r="D18" t="s">
        <v>39</v>
      </c>
      <c r="E18" t="s">
        <v>23</v>
      </c>
      <c r="F18" s="6">
        <v>22</v>
      </c>
      <c r="G18" s="7">
        <v>219</v>
      </c>
      <c r="H18" s="7">
        <f>orders[[#This Row],[Units]] * orders[[#This Row],[Unit Price]]</f>
        <v>4818</v>
      </c>
      <c r="I18" t="s">
        <v>33</v>
      </c>
    </row>
    <row r="19" spans="1:9" x14ac:dyDescent="0.5">
      <c r="A19" t="s">
        <v>58</v>
      </c>
      <c r="B19" s="5">
        <v>46075</v>
      </c>
      <c r="C19" t="s">
        <v>26</v>
      </c>
      <c r="D19" t="s">
        <v>22</v>
      </c>
      <c r="E19" t="s">
        <v>50</v>
      </c>
      <c r="F19" s="6">
        <v>20</v>
      </c>
      <c r="G19" s="7">
        <v>42</v>
      </c>
      <c r="H19" s="7">
        <f>orders[[#This Row],[Units]] * orders[[#This Row],[Unit Price]]</f>
        <v>840</v>
      </c>
      <c r="I19" t="s">
        <v>29</v>
      </c>
    </row>
    <row r="20" spans="1:9" x14ac:dyDescent="0.5">
      <c r="A20" t="s">
        <v>59</v>
      </c>
      <c r="B20" s="5">
        <v>46042</v>
      </c>
      <c r="C20" t="s">
        <v>21</v>
      </c>
      <c r="D20" t="s">
        <v>27</v>
      </c>
      <c r="E20" t="s">
        <v>60</v>
      </c>
      <c r="F20" s="6">
        <v>13</v>
      </c>
      <c r="G20" s="7">
        <v>379</v>
      </c>
      <c r="H20" s="7">
        <f>orders[[#This Row],[Units]] * orders[[#This Row],[Unit Price]]</f>
        <v>4927</v>
      </c>
      <c r="I20" t="s">
        <v>24</v>
      </c>
    </row>
    <row r="21" spans="1:9" x14ac:dyDescent="0.5">
      <c r="A21" t="s">
        <v>61</v>
      </c>
      <c r="B21" s="5">
        <v>46030</v>
      </c>
      <c r="C21" t="s">
        <v>21</v>
      </c>
      <c r="D21" t="s">
        <v>62</v>
      </c>
      <c r="E21" t="s">
        <v>60</v>
      </c>
      <c r="F21" s="6">
        <v>23</v>
      </c>
      <c r="G21" s="7">
        <v>269</v>
      </c>
      <c r="H21" s="7">
        <f>orders[[#This Row],[Units]] * orders[[#This Row],[Unit Price]]</f>
        <v>6187</v>
      </c>
      <c r="I21" t="s">
        <v>24</v>
      </c>
    </row>
    <row r="22" spans="1:9" x14ac:dyDescent="0.5">
      <c r="A22" t="s">
        <v>63</v>
      </c>
      <c r="B22" s="5">
        <v>46094</v>
      </c>
      <c r="C22" t="s">
        <v>35</v>
      </c>
      <c r="D22" t="s">
        <v>49</v>
      </c>
      <c r="E22" t="s">
        <v>44</v>
      </c>
      <c r="F22" s="6">
        <v>22</v>
      </c>
      <c r="G22" s="7">
        <v>549</v>
      </c>
      <c r="H22" s="7">
        <f>orders[[#This Row],[Units]] * orders[[#This Row],[Unit Price]]</f>
        <v>12078</v>
      </c>
      <c r="I22" t="s">
        <v>36</v>
      </c>
    </row>
    <row r="23" spans="1:9" x14ac:dyDescent="0.5">
      <c r="A23" t="s">
        <v>64</v>
      </c>
      <c r="B23" s="5">
        <v>46072</v>
      </c>
      <c r="C23" t="s">
        <v>26</v>
      </c>
      <c r="D23" t="s">
        <v>49</v>
      </c>
      <c r="E23" t="s">
        <v>23</v>
      </c>
      <c r="F23" s="6">
        <v>10</v>
      </c>
      <c r="G23" s="7">
        <v>549</v>
      </c>
      <c r="H23" s="7">
        <f>orders[[#This Row],[Units]] * orders[[#This Row],[Unit Price]]</f>
        <v>5490</v>
      </c>
      <c r="I23" t="s">
        <v>29</v>
      </c>
    </row>
    <row r="24" spans="1:9" x14ac:dyDescent="0.5">
      <c r="A24" t="s">
        <v>65</v>
      </c>
      <c r="B24" s="5">
        <v>46088</v>
      </c>
      <c r="C24" t="s">
        <v>66</v>
      </c>
      <c r="D24" t="s">
        <v>39</v>
      </c>
      <c r="E24" t="s">
        <v>44</v>
      </c>
      <c r="F24" s="6">
        <v>4</v>
      </c>
      <c r="G24" s="7">
        <v>219</v>
      </c>
      <c r="H24" s="7">
        <f>orders[[#This Row],[Units]] * orders[[#This Row],[Unit Price]]</f>
        <v>876</v>
      </c>
      <c r="I24" t="s">
        <v>67</v>
      </c>
    </row>
    <row r="25" spans="1:9" x14ac:dyDescent="0.5">
      <c r="A25" t="s">
        <v>68</v>
      </c>
      <c r="B25" s="5">
        <v>46086</v>
      </c>
      <c r="C25" t="s">
        <v>26</v>
      </c>
      <c r="D25" t="s">
        <v>49</v>
      </c>
      <c r="E25" t="s">
        <v>60</v>
      </c>
      <c r="F25" s="6">
        <v>13</v>
      </c>
      <c r="G25" s="7">
        <v>549</v>
      </c>
      <c r="H25" s="7">
        <f>orders[[#This Row],[Units]] * orders[[#This Row],[Unit Price]]</f>
        <v>7137</v>
      </c>
      <c r="I25" t="s">
        <v>29</v>
      </c>
    </row>
    <row r="26" spans="1:9" x14ac:dyDescent="0.5">
      <c r="A26" t="s">
        <v>69</v>
      </c>
      <c r="B26" s="5">
        <v>46070</v>
      </c>
      <c r="C26" t="s">
        <v>26</v>
      </c>
      <c r="D26" t="s">
        <v>39</v>
      </c>
      <c r="E26" t="s">
        <v>28</v>
      </c>
      <c r="F26" s="6">
        <v>16</v>
      </c>
      <c r="G26" s="7">
        <v>219</v>
      </c>
      <c r="H26" s="7">
        <f>orders[[#This Row],[Units]] * orders[[#This Row],[Unit Price]]</f>
        <v>3504</v>
      </c>
      <c r="I26" t="s">
        <v>29</v>
      </c>
    </row>
    <row r="27" spans="1:9" x14ac:dyDescent="0.5">
      <c r="A27" t="s">
        <v>70</v>
      </c>
      <c r="B27" s="5">
        <v>46050</v>
      </c>
      <c r="C27" t="s">
        <v>21</v>
      </c>
      <c r="D27" t="s">
        <v>46</v>
      </c>
      <c r="E27" t="s">
        <v>40</v>
      </c>
      <c r="F27" s="6">
        <v>8</v>
      </c>
      <c r="G27" s="7">
        <v>89</v>
      </c>
      <c r="H27" s="7">
        <f>orders[[#This Row],[Units]] * orders[[#This Row],[Unit Price]]</f>
        <v>712</v>
      </c>
      <c r="I27" t="s">
        <v>24</v>
      </c>
    </row>
    <row r="28" spans="1:9" x14ac:dyDescent="0.5">
      <c r="A28" t="s">
        <v>71</v>
      </c>
      <c r="B28" s="5">
        <v>46079</v>
      </c>
      <c r="C28" t="s">
        <v>26</v>
      </c>
      <c r="D28" t="s">
        <v>49</v>
      </c>
      <c r="E28" t="s">
        <v>72</v>
      </c>
      <c r="F28" s="6">
        <v>18</v>
      </c>
      <c r="G28" s="7">
        <v>549</v>
      </c>
      <c r="H28" s="7">
        <f>orders[[#This Row],[Units]] * orders[[#This Row],[Unit Price]]</f>
        <v>9882</v>
      </c>
      <c r="I28" t="s">
        <v>29</v>
      </c>
    </row>
    <row r="29" spans="1:9" x14ac:dyDescent="0.5">
      <c r="A29" t="s">
        <v>73</v>
      </c>
      <c r="B29" s="5">
        <v>46044</v>
      </c>
      <c r="C29" t="s">
        <v>35</v>
      </c>
      <c r="D29" t="s">
        <v>22</v>
      </c>
      <c r="E29" t="s">
        <v>42</v>
      </c>
      <c r="F29" s="6">
        <v>15</v>
      </c>
      <c r="G29" s="7">
        <v>42</v>
      </c>
      <c r="H29" s="7">
        <f>orders[[#This Row],[Units]] * orders[[#This Row],[Unit Price]]</f>
        <v>630</v>
      </c>
      <c r="I29" t="s">
        <v>36</v>
      </c>
    </row>
    <row r="30" spans="1:9" x14ac:dyDescent="0.5">
      <c r="A30" t="s">
        <v>74</v>
      </c>
      <c r="B30" s="5">
        <v>46106</v>
      </c>
      <c r="C30" t="s">
        <v>31</v>
      </c>
      <c r="D30" t="s">
        <v>27</v>
      </c>
      <c r="E30" t="s">
        <v>72</v>
      </c>
      <c r="F30" s="6">
        <v>5</v>
      </c>
      <c r="G30" s="7">
        <v>379</v>
      </c>
      <c r="H30" s="7">
        <f>orders[[#This Row],[Units]] * orders[[#This Row],[Unit Price]]</f>
        <v>1895</v>
      </c>
      <c r="I30" t="s">
        <v>33</v>
      </c>
    </row>
    <row r="31" spans="1:9" x14ac:dyDescent="0.5">
      <c r="A31" t="s">
        <v>75</v>
      </c>
      <c r="B31" s="5">
        <v>46032</v>
      </c>
      <c r="C31" t="s">
        <v>31</v>
      </c>
      <c r="D31" t="s">
        <v>62</v>
      </c>
      <c r="E31" t="s">
        <v>76</v>
      </c>
      <c r="F31" s="6">
        <v>14</v>
      </c>
      <c r="G31" s="7">
        <v>269</v>
      </c>
      <c r="H31" s="7">
        <f>orders[[#This Row],[Units]] * orders[[#This Row],[Unit Price]]</f>
        <v>3766</v>
      </c>
      <c r="I31" t="s">
        <v>33</v>
      </c>
    </row>
    <row r="32" spans="1:9" x14ac:dyDescent="0.5">
      <c r="A32" t="s">
        <v>77</v>
      </c>
      <c r="B32" s="5">
        <v>46098</v>
      </c>
      <c r="C32" t="s">
        <v>78</v>
      </c>
      <c r="D32" t="s">
        <v>22</v>
      </c>
      <c r="E32" t="s">
        <v>56</v>
      </c>
      <c r="F32" s="6">
        <v>8</v>
      </c>
      <c r="G32" s="7">
        <v>42</v>
      </c>
      <c r="H32" s="7">
        <f>orders[[#This Row],[Units]] * orders[[#This Row],[Unit Price]]</f>
        <v>336</v>
      </c>
      <c r="I32" t="s">
        <v>79</v>
      </c>
    </row>
    <row r="33" spans="1:9" x14ac:dyDescent="0.5">
      <c r="A33" t="s">
        <v>80</v>
      </c>
      <c r="B33" s="5">
        <v>46108</v>
      </c>
      <c r="C33" t="s">
        <v>66</v>
      </c>
      <c r="D33" t="s">
        <v>46</v>
      </c>
      <c r="E33" t="s">
        <v>81</v>
      </c>
      <c r="F33" s="6">
        <v>18</v>
      </c>
      <c r="G33" s="7">
        <v>89</v>
      </c>
      <c r="H33" s="7">
        <f>orders[[#This Row],[Units]] * orders[[#This Row],[Unit Price]]</f>
        <v>1602</v>
      </c>
      <c r="I33" t="s">
        <v>67</v>
      </c>
    </row>
    <row r="34" spans="1:9" x14ac:dyDescent="0.5">
      <c r="A34" t="s">
        <v>82</v>
      </c>
      <c r="B34" s="5">
        <v>46071</v>
      </c>
      <c r="C34" t="s">
        <v>35</v>
      </c>
      <c r="D34" t="s">
        <v>27</v>
      </c>
      <c r="E34" t="s">
        <v>81</v>
      </c>
      <c r="F34" s="6">
        <v>15</v>
      </c>
      <c r="G34" s="7">
        <v>379</v>
      </c>
      <c r="H34" s="7">
        <f>orders[[#This Row],[Units]] * orders[[#This Row],[Unit Price]]</f>
        <v>5685</v>
      </c>
      <c r="I34" t="s">
        <v>36</v>
      </c>
    </row>
    <row r="35" spans="1:9" x14ac:dyDescent="0.5">
      <c r="A35" t="s">
        <v>83</v>
      </c>
      <c r="B35" s="5">
        <v>46108</v>
      </c>
      <c r="C35" t="s">
        <v>35</v>
      </c>
      <c r="D35" t="s">
        <v>22</v>
      </c>
      <c r="E35" t="s">
        <v>28</v>
      </c>
      <c r="F35" s="6">
        <v>16</v>
      </c>
      <c r="G35" s="7">
        <v>42</v>
      </c>
      <c r="H35" s="7">
        <f>orders[[#This Row],[Units]] * orders[[#This Row],[Unit Price]]</f>
        <v>672</v>
      </c>
      <c r="I35" t="s">
        <v>36</v>
      </c>
    </row>
    <row r="36" spans="1:9" x14ac:dyDescent="0.5">
      <c r="A36" t="s">
        <v>84</v>
      </c>
      <c r="B36" s="5">
        <v>46145</v>
      </c>
      <c r="C36" t="s">
        <v>66</v>
      </c>
      <c r="D36" t="s">
        <v>49</v>
      </c>
      <c r="E36" t="s">
        <v>50</v>
      </c>
      <c r="F36" s="6">
        <v>22</v>
      </c>
      <c r="G36" s="7">
        <v>549</v>
      </c>
      <c r="H36" s="7">
        <f>orders[[#This Row],[Units]] * orders[[#This Row],[Unit Price]]</f>
        <v>12078</v>
      </c>
      <c r="I36" t="s">
        <v>67</v>
      </c>
    </row>
    <row r="37" spans="1:9" x14ac:dyDescent="0.5">
      <c r="A37" t="s">
        <v>85</v>
      </c>
      <c r="B37" s="5">
        <v>46149</v>
      </c>
      <c r="C37" t="s">
        <v>26</v>
      </c>
      <c r="D37" t="s">
        <v>22</v>
      </c>
      <c r="E37" t="s">
        <v>60</v>
      </c>
      <c r="F37" s="6">
        <v>18</v>
      </c>
      <c r="G37" s="7">
        <v>42</v>
      </c>
      <c r="H37" s="7">
        <f>orders[[#This Row],[Units]] * orders[[#This Row],[Unit Price]]</f>
        <v>756</v>
      </c>
      <c r="I37" t="s">
        <v>29</v>
      </c>
    </row>
    <row r="38" spans="1:9" x14ac:dyDescent="0.5">
      <c r="A38" t="s">
        <v>86</v>
      </c>
      <c r="B38" s="5">
        <v>46156</v>
      </c>
      <c r="C38" t="s">
        <v>21</v>
      </c>
      <c r="D38" t="s">
        <v>27</v>
      </c>
      <c r="E38" t="s">
        <v>23</v>
      </c>
      <c r="F38" s="6">
        <v>20</v>
      </c>
      <c r="G38" s="7">
        <v>379</v>
      </c>
      <c r="H38" s="7">
        <f>orders[[#This Row],[Units]] * orders[[#This Row],[Unit Price]]</f>
        <v>7580</v>
      </c>
      <c r="I38" t="s">
        <v>24</v>
      </c>
    </row>
    <row r="39" spans="1:9" x14ac:dyDescent="0.5">
      <c r="A39" t="s">
        <v>87</v>
      </c>
      <c r="B39" s="5">
        <v>46151</v>
      </c>
      <c r="C39" t="s">
        <v>35</v>
      </c>
      <c r="D39" t="s">
        <v>39</v>
      </c>
      <c r="E39" t="s">
        <v>28</v>
      </c>
      <c r="F39" s="6">
        <v>5</v>
      </c>
      <c r="G39" s="7">
        <v>219</v>
      </c>
      <c r="H39" s="7">
        <f>orders[[#This Row],[Units]] * orders[[#This Row],[Unit Price]]</f>
        <v>1095</v>
      </c>
      <c r="I39" t="s">
        <v>36</v>
      </c>
    </row>
    <row r="40" spans="1:9" x14ac:dyDescent="0.5">
      <c r="A40" t="s">
        <v>88</v>
      </c>
      <c r="B40" s="5">
        <v>46123</v>
      </c>
      <c r="C40" t="s">
        <v>35</v>
      </c>
      <c r="D40" t="s">
        <v>62</v>
      </c>
      <c r="E40" t="s">
        <v>60</v>
      </c>
      <c r="F40" s="6">
        <v>9</v>
      </c>
      <c r="G40" s="7">
        <v>269</v>
      </c>
      <c r="H40" s="7">
        <f>orders[[#This Row],[Units]] * orders[[#This Row],[Unit Price]]</f>
        <v>2421</v>
      </c>
      <c r="I40" t="s">
        <v>36</v>
      </c>
    </row>
    <row r="41" spans="1:9" x14ac:dyDescent="0.5">
      <c r="A41" t="s">
        <v>89</v>
      </c>
      <c r="B41" s="5">
        <v>46166</v>
      </c>
      <c r="C41" t="s">
        <v>31</v>
      </c>
      <c r="D41" t="s">
        <v>49</v>
      </c>
      <c r="E41" t="s">
        <v>42</v>
      </c>
      <c r="F41" s="6">
        <v>19</v>
      </c>
      <c r="G41" s="7">
        <v>549</v>
      </c>
      <c r="H41" s="7">
        <f>orders[[#This Row],[Units]] * orders[[#This Row],[Unit Price]]</f>
        <v>10431</v>
      </c>
      <c r="I41" t="s">
        <v>33</v>
      </c>
    </row>
    <row r="42" spans="1:9" x14ac:dyDescent="0.5">
      <c r="A42" t="s">
        <v>90</v>
      </c>
      <c r="B42" s="5">
        <v>46125</v>
      </c>
      <c r="C42" t="s">
        <v>66</v>
      </c>
      <c r="D42" t="s">
        <v>27</v>
      </c>
      <c r="E42" t="s">
        <v>40</v>
      </c>
      <c r="F42" s="6">
        <v>19</v>
      </c>
      <c r="G42" s="7">
        <v>379</v>
      </c>
      <c r="H42" s="7">
        <f>orders[[#This Row],[Units]] * orders[[#This Row],[Unit Price]]</f>
        <v>7201</v>
      </c>
      <c r="I42" t="s">
        <v>67</v>
      </c>
    </row>
    <row r="43" spans="1:9" x14ac:dyDescent="0.5">
      <c r="A43" t="s">
        <v>91</v>
      </c>
      <c r="B43" s="5">
        <v>46150</v>
      </c>
      <c r="C43" t="s">
        <v>21</v>
      </c>
      <c r="D43" t="s">
        <v>49</v>
      </c>
      <c r="E43" t="s">
        <v>44</v>
      </c>
      <c r="F43" s="6">
        <v>19</v>
      </c>
      <c r="G43" s="7">
        <v>549</v>
      </c>
      <c r="H43" s="7">
        <f>orders[[#This Row],[Units]] * orders[[#This Row],[Unit Price]]</f>
        <v>10431</v>
      </c>
      <c r="I43" t="s">
        <v>24</v>
      </c>
    </row>
    <row r="44" spans="1:9" x14ac:dyDescent="0.5">
      <c r="A44" t="s">
        <v>92</v>
      </c>
      <c r="B44" s="5">
        <v>46133</v>
      </c>
      <c r="C44" t="s">
        <v>21</v>
      </c>
      <c r="D44" t="s">
        <v>27</v>
      </c>
      <c r="E44" t="s">
        <v>81</v>
      </c>
      <c r="F44" s="6">
        <v>20</v>
      </c>
      <c r="G44" s="7">
        <v>379</v>
      </c>
      <c r="H44" s="7">
        <f>orders[[#This Row],[Units]] * orders[[#This Row],[Unit Price]]</f>
        <v>7580</v>
      </c>
      <c r="I44" t="s">
        <v>24</v>
      </c>
    </row>
    <row r="45" spans="1:9" x14ac:dyDescent="0.5">
      <c r="A45" t="s">
        <v>93</v>
      </c>
      <c r="B45" s="5">
        <v>46160</v>
      </c>
      <c r="C45" t="s">
        <v>26</v>
      </c>
      <c r="D45" t="s">
        <v>49</v>
      </c>
      <c r="E45" t="s">
        <v>50</v>
      </c>
      <c r="F45" s="6">
        <v>6</v>
      </c>
      <c r="G45" s="7">
        <v>549</v>
      </c>
      <c r="H45" s="7">
        <f>orders[[#This Row],[Units]] * orders[[#This Row],[Unit Price]]</f>
        <v>3294</v>
      </c>
      <c r="I45" t="s">
        <v>29</v>
      </c>
    </row>
    <row r="46" spans="1:9" x14ac:dyDescent="0.5">
      <c r="A46" t="s">
        <v>94</v>
      </c>
      <c r="B46" s="5">
        <v>46156</v>
      </c>
      <c r="C46" t="s">
        <v>21</v>
      </c>
      <c r="D46" t="s">
        <v>46</v>
      </c>
      <c r="E46" t="s">
        <v>32</v>
      </c>
      <c r="F46" s="6">
        <v>7</v>
      </c>
      <c r="G46" s="7">
        <v>89</v>
      </c>
      <c r="H46" s="7">
        <f>orders[[#This Row],[Units]] * orders[[#This Row],[Unit Price]]</f>
        <v>623</v>
      </c>
      <c r="I46" t="s">
        <v>24</v>
      </c>
    </row>
    <row r="47" spans="1:9" x14ac:dyDescent="0.5">
      <c r="A47" t="s">
        <v>95</v>
      </c>
      <c r="B47" s="5">
        <v>46124</v>
      </c>
      <c r="C47" t="s">
        <v>35</v>
      </c>
      <c r="D47" t="s">
        <v>62</v>
      </c>
      <c r="E47" t="s">
        <v>42</v>
      </c>
      <c r="F47" s="6">
        <v>7</v>
      </c>
      <c r="G47" s="7">
        <v>269</v>
      </c>
      <c r="H47" s="7">
        <f>orders[[#This Row],[Units]] * orders[[#This Row],[Unit Price]]</f>
        <v>1883</v>
      </c>
      <c r="I47" t="s">
        <v>36</v>
      </c>
    </row>
    <row r="48" spans="1:9" x14ac:dyDescent="0.5">
      <c r="A48" t="s">
        <v>96</v>
      </c>
      <c r="B48" s="5">
        <v>46145</v>
      </c>
      <c r="C48" t="s">
        <v>78</v>
      </c>
      <c r="D48" t="s">
        <v>49</v>
      </c>
      <c r="E48" t="s">
        <v>44</v>
      </c>
      <c r="F48" s="6">
        <v>10</v>
      </c>
      <c r="G48" s="7">
        <v>549</v>
      </c>
      <c r="H48" s="7">
        <f>orders[[#This Row],[Units]] * orders[[#This Row],[Unit Price]]</f>
        <v>5490</v>
      </c>
      <c r="I48" t="s">
        <v>79</v>
      </c>
    </row>
    <row r="49" spans="1:9" x14ac:dyDescent="0.5">
      <c r="A49" t="s">
        <v>97</v>
      </c>
      <c r="B49" s="5">
        <v>46157</v>
      </c>
      <c r="C49" t="s">
        <v>31</v>
      </c>
      <c r="D49" t="s">
        <v>22</v>
      </c>
      <c r="E49" t="s">
        <v>40</v>
      </c>
      <c r="F49" s="6">
        <v>15</v>
      </c>
      <c r="G49" s="7">
        <v>42</v>
      </c>
      <c r="H49" s="7">
        <f>orders[[#This Row],[Units]] * orders[[#This Row],[Unit Price]]</f>
        <v>630</v>
      </c>
      <c r="I49" t="s">
        <v>33</v>
      </c>
    </row>
    <row r="50" spans="1:9" x14ac:dyDescent="0.5">
      <c r="A50" t="s">
        <v>98</v>
      </c>
      <c r="B50" s="5">
        <v>46170</v>
      </c>
      <c r="C50" t="s">
        <v>35</v>
      </c>
      <c r="D50" t="s">
        <v>27</v>
      </c>
      <c r="E50" t="s">
        <v>81</v>
      </c>
      <c r="F50" s="6">
        <v>20</v>
      </c>
      <c r="G50" s="7">
        <v>379</v>
      </c>
      <c r="H50" s="7">
        <f>orders[[#This Row],[Units]] * orders[[#This Row],[Unit Price]]</f>
        <v>7580</v>
      </c>
      <c r="I50" t="s">
        <v>36</v>
      </c>
    </row>
    <row r="51" spans="1:9" x14ac:dyDescent="0.5">
      <c r="A51" t="s">
        <v>99</v>
      </c>
      <c r="B51" s="5">
        <v>46113</v>
      </c>
      <c r="C51" t="s">
        <v>21</v>
      </c>
      <c r="D51" t="s">
        <v>39</v>
      </c>
      <c r="E51" t="s">
        <v>50</v>
      </c>
      <c r="F51" s="6">
        <v>7</v>
      </c>
      <c r="G51" s="7">
        <v>219</v>
      </c>
      <c r="H51" s="7">
        <f>orders[[#This Row],[Units]] * orders[[#This Row],[Unit Price]]</f>
        <v>1533</v>
      </c>
      <c r="I51" t="s">
        <v>24</v>
      </c>
    </row>
    <row r="52" spans="1:9" x14ac:dyDescent="0.5">
      <c r="A52" t="s">
        <v>100</v>
      </c>
      <c r="B52" s="5">
        <v>46146</v>
      </c>
      <c r="C52" t="s">
        <v>66</v>
      </c>
      <c r="D52" t="s">
        <v>49</v>
      </c>
      <c r="E52" t="s">
        <v>76</v>
      </c>
      <c r="F52" s="6">
        <v>16</v>
      </c>
      <c r="G52" s="7">
        <v>549</v>
      </c>
      <c r="H52" s="7">
        <f>orders[[#This Row],[Units]] * orders[[#This Row],[Unit Price]]</f>
        <v>8784</v>
      </c>
      <c r="I52" t="s">
        <v>67</v>
      </c>
    </row>
    <row r="53" spans="1:9" x14ac:dyDescent="0.5">
      <c r="A53" t="s">
        <v>101</v>
      </c>
      <c r="B53" s="5">
        <v>46149</v>
      </c>
      <c r="C53" t="s">
        <v>26</v>
      </c>
      <c r="D53" t="s">
        <v>46</v>
      </c>
      <c r="E53" t="s">
        <v>60</v>
      </c>
      <c r="F53" s="6">
        <v>8</v>
      </c>
      <c r="G53" s="7">
        <v>89</v>
      </c>
      <c r="H53" s="7">
        <f>orders[[#This Row],[Units]] * orders[[#This Row],[Unit Price]]</f>
        <v>712</v>
      </c>
      <c r="I53" t="s">
        <v>29</v>
      </c>
    </row>
    <row r="54" spans="1:9" x14ac:dyDescent="0.5">
      <c r="A54" t="s">
        <v>102</v>
      </c>
      <c r="B54" s="5">
        <v>46143</v>
      </c>
      <c r="C54" t="s">
        <v>66</v>
      </c>
      <c r="D54" t="s">
        <v>62</v>
      </c>
      <c r="E54" t="s">
        <v>76</v>
      </c>
      <c r="F54" s="6">
        <v>14</v>
      </c>
      <c r="G54" s="7">
        <v>269</v>
      </c>
      <c r="H54" s="7">
        <f>orders[[#This Row],[Units]] * orders[[#This Row],[Unit Price]]</f>
        <v>3766</v>
      </c>
      <c r="I54" t="s">
        <v>67</v>
      </c>
    </row>
    <row r="55" spans="1:9" x14ac:dyDescent="0.5">
      <c r="A55" t="s">
        <v>103</v>
      </c>
      <c r="B55" s="5">
        <v>46113</v>
      </c>
      <c r="C55" t="s">
        <v>26</v>
      </c>
      <c r="D55" t="s">
        <v>22</v>
      </c>
      <c r="E55" t="s">
        <v>32</v>
      </c>
      <c r="F55" s="6">
        <v>7</v>
      </c>
      <c r="G55" s="7">
        <v>42</v>
      </c>
      <c r="H55" s="7">
        <f>orders[[#This Row],[Units]] * orders[[#This Row],[Unit Price]]</f>
        <v>294</v>
      </c>
      <c r="I55" t="s">
        <v>29</v>
      </c>
    </row>
    <row r="56" spans="1:9" x14ac:dyDescent="0.5">
      <c r="B56" s="5"/>
      <c r="F56" s="6">
        <v>1000</v>
      </c>
      <c r="G56" s="7"/>
      <c r="H56" s="7">
        <f>orders[[#This Row],[Units]] * orders[[#This Row],[Unit Price]]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2A2E-C5A2-4EAC-9FB3-621C8BAB613E}">
  <dimension ref="A1:B1"/>
  <sheetViews>
    <sheetView zoomScale="265" zoomScaleNormal="265" workbookViewId="0">
      <selection activeCell="B1" sqref="B1"/>
    </sheetView>
  </sheetViews>
  <sheetFormatPr defaultRowHeight="14.35" x14ac:dyDescent="0.5"/>
  <sheetData>
    <row r="1" spans="1:2" x14ac:dyDescent="0.5">
      <c r="A1" t="s">
        <v>110</v>
      </c>
      <c r="B1" s="6">
        <f>SUM(orders[Units])</f>
        <v>1750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A5D5-0137-4146-BC0F-DFC88DAA0034}">
  <dimension ref="A1:E10"/>
  <sheetViews>
    <sheetView tabSelected="1" zoomScale="115" zoomScaleNormal="115" workbookViewId="0">
      <selection activeCell="D3" sqref="D3"/>
    </sheetView>
  </sheetViews>
  <sheetFormatPr defaultRowHeight="14.35" x14ac:dyDescent="0.5"/>
  <cols>
    <col min="1" max="1" width="10.76171875" customWidth="1"/>
    <col min="3" max="3" width="16.41015625" customWidth="1"/>
    <col min="4" max="5" width="9.29296875" customWidth="1"/>
  </cols>
  <sheetData>
    <row r="1" spans="1:5" ht="28.7" x14ac:dyDescent="0.5">
      <c r="A1" s="8" t="s">
        <v>19</v>
      </c>
      <c r="B1" s="8" t="s">
        <v>16</v>
      </c>
      <c r="C1" s="8" t="s">
        <v>104</v>
      </c>
      <c r="D1" s="10" t="s">
        <v>105</v>
      </c>
      <c r="E1" s="10" t="s">
        <v>106</v>
      </c>
    </row>
    <row r="2" spans="1:5" ht="28.7" x14ac:dyDescent="0.5">
      <c r="A2" s="11" t="s">
        <v>24</v>
      </c>
      <c r="B2" s="11" t="s">
        <v>28</v>
      </c>
      <c r="C2" s="11" t="s">
        <v>107</v>
      </c>
      <c r="D2" s="9">
        <v>12</v>
      </c>
      <c r="E2" s="9">
        <v>7</v>
      </c>
    </row>
    <row r="3" spans="1:5" ht="28.7" x14ac:dyDescent="0.5">
      <c r="A3" s="11" t="s">
        <v>24</v>
      </c>
      <c r="B3" s="11" t="s">
        <v>28</v>
      </c>
      <c r="C3" s="11" t="s">
        <v>108</v>
      </c>
      <c r="D3" s="9">
        <v>25</v>
      </c>
      <c r="E3" s="9">
        <v>26</v>
      </c>
    </row>
    <row r="4" spans="1:5" ht="28.7" x14ac:dyDescent="0.5">
      <c r="A4" s="11" t="s">
        <v>24</v>
      </c>
      <c r="B4" s="11" t="s">
        <v>28</v>
      </c>
      <c r="C4" s="11" t="s">
        <v>109</v>
      </c>
      <c r="D4" s="9">
        <v>40</v>
      </c>
      <c r="E4" s="9">
        <v>40</v>
      </c>
    </row>
    <row r="5" spans="1:5" ht="28.7" x14ac:dyDescent="0.5">
      <c r="A5" s="11" t="s">
        <v>29</v>
      </c>
      <c r="B5" s="11" t="s">
        <v>28</v>
      </c>
      <c r="C5" s="11" t="s">
        <v>107</v>
      </c>
      <c r="D5" s="9">
        <v>31</v>
      </c>
      <c r="E5" s="9">
        <v>26</v>
      </c>
    </row>
    <row r="6" spans="1:5" ht="28.7" x14ac:dyDescent="0.5">
      <c r="A6" s="11" t="s">
        <v>29</v>
      </c>
      <c r="B6" s="11" t="s">
        <v>28</v>
      </c>
      <c r="C6" s="11" t="s">
        <v>108</v>
      </c>
      <c r="D6" s="9">
        <v>52</v>
      </c>
      <c r="E6" s="9">
        <v>19</v>
      </c>
    </row>
    <row r="7" spans="1:5" ht="28.7" x14ac:dyDescent="0.5">
      <c r="A7" s="11" t="s">
        <v>29</v>
      </c>
      <c r="B7" s="11" t="s">
        <v>28</v>
      </c>
      <c r="C7" s="11" t="s">
        <v>109</v>
      </c>
      <c r="D7" s="9">
        <v>23</v>
      </c>
      <c r="E7" s="9">
        <v>0</v>
      </c>
    </row>
    <row r="8" spans="1:5" ht="28.7" x14ac:dyDescent="0.5">
      <c r="A8" s="11" t="s">
        <v>36</v>
      </c>
      <c r="B8" s="11" t="s">
        <v>44</v>
      </c>
      <c r="C8" s="11" t="s">
        <v>107</v>
      </c>
      <c r="D8" s="9">
        <v>31</v>
      </c>
      <c r="E8" s="9">
        <v>0</v>
      </c>
    </row>
    <row r="9" spans="1:5" ht="28.7" x14ac:dyDescent="0.5">
      <c r="A9" s="11" t="s">
        <v>36</v>
      </c>
      <c r="B9" s="11" t="s">
        <v>44</v>
      </c>
      <c r="C9" s="11" t="s">
        <v>108</v>
      </c>
      <c r="D9" s="9">
        <v>41</v>
      </c>
      <c r="E9" s="9">
        <v>5</v>
      </c>
    </row>
    <row r="10" spans="1:5" ht="28.7" x14ac:dyDescent="0.5">
      <c r="A10" s="11" t="s">
        <v>36</v>
      </c>
      <c r="B10" s="11" t="s">
        <v>44</v>
      </c>
      <c r="C10" s="11" t="s">
        <v>109</v>
      </c>
      <c r="D10" s="9">
        <v>37</v>
      </c>
      <c r="E10" s="9">
        <v>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E3C4-6F0C-4BFB-B422-8D61F3216FD6}">
  <dimension ref="B2:D14"/>
  <sheetViews>
    <sheetView showGridLines="0" workbookViewId="0"/>
  </sheetViews>
  <sheetFormatPr defaultRowHeight="14.35" x14ac:dyDescent="0.5"/>
  <cols>
    <col min="2" max="2" width="3.52734375" customWidth="1"/>
    <col min="3" max="3" width="10.46875" bestFit="1" customWidth="1"/>
    <col min="4" max="4" width="11.17578125" bestFit="1" customWidth="1"/>
  </cols>
  <sheetData>
    <row r="2" spans="2:4" x14ac:dyDescent="0.5">
      <c r="B2" s="19" t="s">
        <v>112</v>
      </c>
    </row>
    <row r="4" spans="2:4" x14ac:dyDescent="0.5">
      <c r="C4" s="20" t="s">
        <v>16</v>
      </c>
      <c r="D4" t="s">
        <v>113</v>
      </c>
    </row>
    <row r="5" spans="2:4" x14ac:dyDescent="0.5">
      <c r="C5" t="s">
        <v>114</v>
      </c>
      <c r="D5" s="6">
        <v>1000</v>
      </c>
    </row>
    <row r="6" spans="2:4" x14ac:dyDescent="0.5">
      <c r="C6" t="s">
        <v>28</v>
      </c>
      <c r="D6" s="6">
        <v>162</v>
      </c>
    </row>
    <row r="7" spans="2:4" x14ac:dyDescent="0.5">
      <c r="C7" t="s">
        <v>44</v>
      </c>
      <c r="D7" s="6">
        <v>154</v>
      </c>
    </row>
    <row r="8" spans="2:4" x14ac:dyDescent="0.5">
      <c r="C8" t="s">
        <v>56</v>
      </c>
      <c r="D8" s="6">
        <v>100</v>
      </c>
    </row>
    <row r="9" spans="2:4" x14ac:dyDescent="0.5">
      <c r="C9" t="s">
        <v>32</v>
      </c>
      <c r="D9" s="6">
        <v>91</v>
      </c>
    </row>
    <row r="10" spans="2:4" x14ac:dyDescent="0.5">
      <c r="C10" t="s">
        <v>40</v>
      </c>
      <c r="D10" s="6">
        <v>90</v>
      </c>
    </row>
    <row r="11" spans="2:4" x14ac:dyDescent="0.5">
      <c r="C11" t="s">
        <v>50</v>
      </c>
      <c r="D11" s="6">
        <v>74</v>
      </c>
    </row>
    <row r="12" spans="2:4" x14ac:dyDescent="0.5">
      <c r="C12" t="s">
        <v>23</v>
      </c>
      <c r="D12" s="6">
        <v>56</v>
      </c>
    </row>
    <row r="13" spans="2:4" x14ac:dyDescent="0.5">
      <c r="C13" t="s">
        <v>72</v>
      </c>
      <c r="D13" s="6">
        <v>23</v>
      </c>
    </row>
    <row r="14" spans="2:4" x14ac:dyDescent="0.5">
      <c r="C14" t="s">
        <v>115</v>
      </c>
      <c r="D14" s="6">
        <v>1750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6502-03E8-40B7-A4B9-B76FEA5D4C2E}">
  <dimension ref="B2:C5"/>
  <sheetViews>
    <sheetView showGridLines="0" workbookViewId="0">
      <selection activeCell="C5" sqref="C5"/>
    </sheetView>
  </sheetViews>
  <sheetFormatPr defaultRowHeight="14.35" x14ac:dyDescent="0.5"/>
  <cols>
    <col min="2" max="2" width="3.52734375" customWidth="1"/>
    <col min="3" max="3" width="20.703125" bestFit="1" customWidth="1"/>
  </cols>
  <sheetData>
    <row r="2" spans="2:3" x14ac:dyDescent="0.5">
      <c r="B2" s="19" t="s">
        <v>116</v>
      </c>
    </row>
    <row r="4" spans="2:3" x14ac:dyDescent="0.5">
      <c r="C4" s="21" t="s">
        <v>117</v>
      </c>
    </row>
    <row r="5" spans="2:3" x14ac:dyDescent="0.5">
      <c r="C5" cm="1">
        <f t="array" ref="C5">IF(SUM(ISERROR(quarter_sales[])*1)&gt;0,NA(),COUNTA(_xlfn.UNIQUE(quarter_sales[Region])))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steps</vt:lpstr>
      <vt:lpstr>raw-export</vt:lpstr>
      <vt:lpstr>Summary</vt:lpstr>
      <vt:lpstr>raw-export2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2026-08-12T21:42:28Z</dcterms:created>
  <dcterms:modified xsi:type="dcterms:W3CDTF">2026-09-29T16:19:33Z</dcterms:modified>
</cp:coreProperties>
</file>